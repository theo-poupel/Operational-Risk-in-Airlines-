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poupelhasegawa/Desktop/PLA Project/FINAL/"/>
    </mc:Choice>
  </mc:AlternateContent>
  <xr:revisionPtr revIDLastSave="0" documentId="8_{6893CE27-7DF0-EF41-963C-CA8CD46AF501}" xr6:coauthVersionLast="47" xr6:coauthVersionMax="47" xr10:uidLastSave="{00000000-0000-0000-0000-000000000000}"/>
  <bookViews>
    <workbookView xWindow="0" yWindow="760" windowWidth="29400" windowHeight="17260" xr2:uid="{01E45874-ABA7-F843-8F29-11CCB69E7078}"/>
  </bookViews>
  <sheets>
    <sheet name="ORD DIST." sheetId="3" r:id="rId1"/>
    <sheet name="ORD" sheetId="1" r:id="rId2"/>
    <sheet name="MCO DIST." sheetId="5" r:id="rId3"/>
    <sheet name="MCO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B3" i="5"/>
  <c r="B6" i="5" s="1"/>
  <c r="A12" i="5"/>
  <c r="A13" i="5"/>
  <c r="A14" i="5"/>
  <c r="B25" i="5"/>
  <c r="B26" i="5"/>
  <c r="A35" i="5"/>
  <c r="A36" i="5"/>
  <c r="A37" i="5"/>
  <c r="B48" i="5"/>
  <c r="B49" i="5"/>
  <c r="B51" i="5"/>
  <c r="B52" i="5"/>
  <c r="A58" i="5"/>
  <c r="B58" i="5" s="1"/>
  <c r="C58" i="5" s="1"/>
  <c r="E58" i="5" s="1"/>
  <c r="F58" i="5" s="1"/>
  <c r="A59" i="5"/>
  <c r="A60" i="5"/>
  <c r="B60" i="5" s="1"/>
  <c r="C60" i="5" s="1"/>
  <c r="E60" i="5" s="1"/>
  <c r="F60" i="5" s="1"/>
  <c r="B71" i="5"/>
  <c r="B74" i="5" s="1"/>
  <c r="B72" i="5"/>
  <c r="A81" i="5"/>
  <c r="A82" i="5"/>
  <c r="A83" i="5"/>
  <c r="B29" i="5" l="1"/>
  <c r="B13" i="5"/>
  <c r="C13" i="5" s="1"/>
  <c r="E13" i="5" s="1"/>
  <c r="F13" i="5" s="1"/>
  <c r="B59" i="5"/>
  <c r="C59" i="5" s="1"/>
  <c r="E59" i="5" s="1"/>
  <c r="F59" i="5" s="1"/>
  <c r="B63" i="5"/>
  <c r="C63" i="5" s="1"/>
  <c r="E63" i="5" s="1"/>
  <c r="F63" i="5" s="1"/>
  <c r="B75" i="5"/>
  <c r="B87" i="5" s="1"/>
  <c r="C87" i="5" s="1"/>
  <c r="E87" i="5" s="1"/>
  <c r="F87" i="5" s="1"/>
  <c r="B5" i="5"/>
  <c r="B8" i="5"/>
  <c r="B16" i="5"/>
  <c r="C16" i="5" s="1"/>
  <c r="E16" i="5" s="1"/>
  <c r="F16" i="5" s="1"/>
  <c r="B15" i="5"/>
  <c r="C15" i="5" s="1"/>
  <c r="E15" i="5" s="1"/>
  <c r="F15" i="5" s="1"/>
  <c r="B18" i="5"/>
  <c r="C18" i="5" s="1"/>
  <c r="E18" i="5" s="1"/>
  <c r="F18" i="5" s="1"/>
  <c r="B7" i="5"/>
  <c r="B12" i="5"/>
  <c r="C12" i="5" s="1"/>
  <c r="E12" i="5" s="1"/>
  <c r="F12" i="5" s="1"/>
  <c r="B14" i="5"/>
  <c r="C14" i="5" s="1"/>
  <c r="E14" i="5" s="1"/>
  <c r="F14" i="5" s="1"/>
  <c r="B17" i="5"/>
  <c r="C17" i="5" s="1"/>
  <c r="E17" i="5" s="1"/>
  <c r="F17" i="5" s="1"/>
  <c r="B62" i="5"/>
  <c r="C62" i="5" s="1"/>
  <c r="E62" i="5" s="1"/>
  <c r="F62" i="5" s="1"/>
  <c r="B54" i="5"/>
  <c r="B28" i="5"/>
  <c r="B53" i="5"/>
  <c r="B64" i="5"/>
  <c r="C64" i="5" s="1"/>
  <c r="E64" i="5" s="1"/>
  <c r="F64" i="5" s="1"/>
  <c r="B61" i="5"/>
  <c r="C61" i="5" s="1"/>
  <c r="E61" i="5" s="1"/>
  <c r="F61" i="5" s="1"/>
  <c r="E87" i="3"/>
  <c r="E86" i="3"/>
  <c r="F86" i="3" s="1"/>
  <c r="E85" i="3"/>
  <c r="F85" i="3" s="1"/>
  <c r="E84" i="3"/>
  <c r="F84" i="3" s="1"/>
  <c r="E83" i="3"/>
  <c r="F83" i="3" s="1"/>
  <c r="E82" i="3"/>
  <c r="F82" i="3" s="1"/>
  <c r="E81" i="3"/>
  <c r="F81" i="3" s="1"/>
  <c r="F87" i="3"/>
  <c r="E64" i="3"/>
  <c r="E63" i="3"/>
  <c r="E62" i="3"/>
  <c r="E61" i="3"/>
  <c r="F61" i="3" s="1"/>
  <c r="E60" i="3"/>
  <c r="F60" i="3" s="1"/>
  <c r="E59" i="3"/>
  <c r="F59" i="3" s="1"/>
  <c r="E58" i="3"/>
  <c r="F58" i="3" s="1"/>
  <c r="F64" i="3"/>
  <c r="F63" i="3"/>
  <c r="F62" i="3"/>
  <c r="E41" i="3"/>
  <c r="E40" i="3"/>
  <c r="E39" i="3"/>
  <c r="E38" i="3"/>
  <c r="F38" i="3" s="1"/>
  <c r="E37" i="3"/>
  <c r="F37" i="3" s="1"/>
  <c r="E36" i="3"/>
  <c r="F36" i="3" s="1"/>
  <c r="E35" i="3"/>
  <c r="F35" i="3" s="1"/>
  <c r="F41" i="3"/>
  <c r="F40" i="3"/>
  <c r="F39" i="3"/>
  <c r="E18" i="3"/>
  <c r="E17" i="3"/>
  <c r="E16" i="3"/>
  <c r="E15" i="3"/>
  <c r="E14" i="3"/>
  <c r="E13" i="3"/>
  <c r="E12" i="3"/>
  <c r="A12" i="3"/>
  <c r="C87" i="3"/>
  <c r="C86" i="3"/>
  <c r="C85" i="3"/>
  <c r="C84" i="3"/>
  <c r="C83" i="3"/>
  <c r="C82" i="3"/>
  <c r="C81" i="3"/>
  <c r="C58" i="3"/>
  <c r="C59" i="3"/>
  <c r="C60" i="3"/>
  <c r="C61" i="3"/>
  <c r="C62" i="3"/>
  <c r="C64" i="3"/>
  <c r="C63" i="3"/>
  <c r="C41" i="3"/>
  <c r="C40" i="3"/>
  <c r="C39" i="3"/>
  <c r="C38" i="3"/>
  <c r="C37" i="3"/>
  <c r="C36" i="3"/>
  <c r="C35" i="3"/>
  <c r="C18" i="3"/>
  <c r="C17" i="3"/>
  <c r="C16" i="3"/>
  <c r="C15" i="3"/>
  <c r="C14" i="3"/>
  <c r="C13" i="3"/>
  <c r="A83" i="3"/>
  <c r="A82" i="3"/>
  <c r="A81" i="3"/>
  <c r="A60" i="3"/>
  <c r="A59" i="3"/>
  <c r="A58" i="3"/>
  <c r="A37" i="3"/>
  <c r="A36" i="3"/>
  <c r="A35" i="3"/>
  <c r="A14" i="3"/>
  <c r="A13" i="3"/>
  <c r="B72" i="3"/>
  <c r="B75" i="3" s="1"/>
  <c r="B71" i="3"/>
  <c r="B49" i="3"/>
  <c r="B48" i="3"/>
  <c r="B26" i="3"/>
  <c r="B25" i="3"/>
  <c r="B29" i="3"/>
  <c r="B3" i="3"/>
  <c r="B2" i="3"/>
  <c r="C12" i="2"/>
  <c r="C11" i="2"/>
  <c r="C10" i="2"/>
  <c r="C9" i="2"/>
  <c r="E5" i="2"/>
  <c r="C20" i="2" s="1"/>
  <c r="E4" i="2"/>
  <c r="C19" i="2" s="1"/>
  <c r="E3" i="2"/>
  <c r="C18" i="2" s="1"/>
  <c r="C19" i="1"/>
  <c r="C10" i="1"/>
  <c r="C25" i="1" s="1"/>
  <c r="C11" i="1"/>
  <c r="C26" i="1" s="1"/>
  <c r="C12" i="1"/>
  <c r="C9" i="1"/>
  <c r="E5" i="1"/>
  <c r="C20" i="1" s="1"/>
  <c r="E4" i="1"/>
  <c r="E3" i="1"/>
  <c r="C18" i="1" s="1"/>
  <c r="E2" i="1"/>
  <c r="C17" i="1" s="1"/>
  <c r="B76" i="5" l="1"/>
  <c r="B85" i="5"/>
  <c r="C85" i="5" s="1"/>
  <c r="E85" i="5" s="1"/>
  <c r="F85" i="5" s="1"/>
  <c r="B84" i="5"/>
  <c r="C84" i="5" s="1"/>
  <c r="E84" i="5" s="1"/>
  <c r="F84" i="5" s="1"/>
  <c r="B81" i="5"/>
  <c r="C81" i="5" s="1"/>
  <c r="E81" i="5" s="1"/>
  <c r="F81" i="5" s="1"/>
  <c r="B77" i="5"/>
  <c r="B82" i="5"/>
  <c r="C82" i="5" s="1"/>
  <c r="E82" i="5" s="1"/>
  <c r="F82" i="5" s="1"/>
  <c r="B83" i="5"/>
  <c r="C83" i="5" s="1"/>
  <c r="E83" i="5" s="1"/>
  <c r="F83" i="5" s="1"/>
  <c r="B86" i="5"/>
  <c r="C86" i="5" s="1"/>
  <c r="E86" i="5" s="1"/>
  <c r="F86" i="5" s="1"/>
  <c r="B41" i="5"/>
  <c r="C41" i="5" s="1"/>
  <c r="E41" i="5" s="1"/>
  <c r="F41" i="5" s="1"/>
  <c r="B37" i="5"/>
  <c r="C37" i="5" s="1"/>
  <c r="E37" i="5" s="1"/>
  <c r="F37" i="5" s="1"/>
  <c r="B30" i="5"/>
  <c r="B35" i="5"/>
  <c r="C35" i="5" s="1"/>
  <c r="E35" i="5" s="1"/>
  <c r="F35" i="5" s="1"/>
  <c r="B40" i="5"/>
  <c r="C40" i="5" s="1"/>
  <c r="E40" i="5" s="1"/>
  <c r="F40" i="5" s="1"/>
  <c r="B31" i="5"/>
  <c r="B39" i="5"/>
  <c r="C39" i="5" s="1"/>
  <c r="E39" i="5" s="1"/>
  <c r="F39" i="5" s="1"/>
  <c r="B38" i="5"/>
  <c r="C38" i="5" s="1"/>
  <c r="E38" i="5" s="1"/>
  <c r="F38" i="5" s="1"/>
  <c r="B36" i="5"/>
  <c r="C36" i="5" s="1"/>
  <c r="E36" i="5" s="1"/>
  <c r="F36" i="5" s="1"/>
  <c r="B74" i="3"/>
  <c r="B87" i="3" s="1"/>
  <c r="B82" i="3"/>
  <c r="B85" i="3"/>
  <c r="B51" i="3"/>
  <c r="B52" i="3"/>
  <c r="B54" i="3" s="1"/>
  <c r="B28" i="3"/>
  <c r="B5" i="3"/>
  <c r="B12" i="3" s="1"/>
  <c r="B6" i="3"/>
  <c r="B7" i="3" s="1"/>
  <c r="C25" i="2"/>
  <c r="C26" i="2"/>
  <c r="C27" i="2"/>
  <c r="E2" i="2"/>
  <c r="C17" i="2" s="1"/>
  <c r="C24" i="2" s="1"/>
  <c r="C27" i="1"/>
  <c r="C24" i="1"/>
  <c r="F12" i="3" l="1"/>
  <c r="C12" i="3"/>
  <c r="B76" i="3"/>
  <c r="B77" i="3"/>
  <c r="B84" i="3"/>
  <c r="B81" i="3"/>
  <c r="B86" i="3"/>
  <c r="B83" i="3"/>
  <c r="B40" i="3"/>
  <c r="B39" i="3"/>
  <c r="B36" i="3"/>
  <c r="B35" i="3"/>
  <c r="B38" i="3"/>
  <c r="B37" i="3"/>
  <c r="B41" i="3"/>
  <c r="B64" i="3"/>
  <c r="B63" i="3"/>
  <c r="B62" i="3"/>
  <c r="B60" i="3"/>
  <c r="B59" i="3"/>
  <c r="B58" i="3"/>
  <c r="B61" i="3"/>
  <c r="B53" i="3"/>
  <c r="B31" i="3"/>
  <c r="B30" i="3"/>
  <c r="B8" i="3"/>
  <c r="B14" i="3"/>
  <c r="F14" i="3" s="1"/>
  <c r="B16" i="3"/>
  <c r="F16" i="3" s="1"/>
  <c r="B15" i="3"/>
  <c r="F15" i="3" s="1"/>
  <c r="B18" i="3"/>
  <c r="F18" i="3" s="1"/>
  <c r="B13" i="3"/>
  <c r="F13" i="3" s="1"/>
  <c r="B17" i="3"/>
  <c r="F17" i="3" s="1"/>
</calcChain>
</file>

<file path=xl/sharedStrings.xml><?xml version="1.0" encoding="utf-8"?>
<sst xmlns="http://schemas.openxmlformats.org/spreadsheetml/2006/main" count="160" uniqueCount="33">
  <si>
    <t>ORD</t>
  </si>
  <si>
    <t>Q1 (Dec 2014 to Feb 2015)</t>
  </si>
  <si>
    <t>Q2 (Mar 2015 to May 2015)</t>
  </si>
  <si>
    <t>Q3 (Jun 2015 to Aug 2015)</t>
  </si>
  <si>
    <t>Q4 (Sep 2015 to Nov 2015</t>
  </si>
  <si>
    <t>Weather Delay Count</t>
  </si>
  <si>
    <t>General Delay Count</t>
  </si>
  <si>
    <t>Non-Weather Delay Count</t>
  </si>
  <si>
    <t>Weather count delays / No. of arrival flights</t>
  </si>
  <si>
    <t>Probability that a flight is delayed due to non-weather reasons</t>
  </si>
  <si>
    <t>Non-weather delays / Arrival flight total</t>
  </si>
  <si>
    <t>Probability that a flight experiences any delay</t>
  </si>
  <si>
    <t>Non weather delays + Weather delays</t>
  </si>
  <si>
    <t>Arrival delays / arrival flights</t>
  </si>
  <si>
    <t>Arrival Count</t>
  </si>
  <si>
    <t>MCO</t>
  </si>
  <si>
    <t>Probability that a flight is delayed due to weather reasons</t>
  </si>
  <si>
    <t>Weather delays</t>
  </si>
  <si>
    <t>Percentile</t>
  </si>
  <si>
    <t>Upper 95%</t>
  </si>
  <si>
    <t>Lower 95%</t>
  </si>
  <si>
    <t>Std Dev</t>
  </si>
  <si>
    <t>Mean</t>
  </si>
  <si>
    <t>p</t>
  </si>
  <si>
    <t>n</t>
  </si>
  <si>
    <t>Q1</t>
  </si>
  <si>
    <t>Q2</t>
  </si>
  <si>
    <t>Q3</t>
  </si>
  <si>
    <t>Q4</t>
  </si>
  <si>
    <t>z score value</t>
  </si>
  <si>
    <t>Binomial PMF (X)</t>
  </si>
  <si>
    <t>ROUNDED</t>
  </si>
  <si>
    <t>Percentage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</si>
</sst>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"/>
    <numFmt numFmtId="165" formatCode="0.0000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2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10" fontId="0" fillId="0" borderId="0" xfId="0" applyNumberFormat="1"/>
    <xf numFmtId="165" fontId="0" fillId="0" borderId="0" xfId="2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50800</xdr:colOff>
      <xdr:row>0</xdr:row>
      <xdr:rowOff>0</xdr:rowOff>
    </xdr:from>
    <xdr:to>
      <xdr:col>14</xdr:col>
      <xdr:colOff>800100</xdr:colOff>
      <xdr:row>18</xdr:row>
      <xdr:rowOff>133624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6EEE062-1890-0EA9-42A8-052925A5F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1300" y="0"/>
          <a:ext cx="6997700" cy="3791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266699</xdr:colOff>
      <xdr:row>1</xdr:row>
      <xdr:rowOff>12700</xdr:rowOff>
    </xdr:from>
    <xdr:ext cx="6385744" cy="3113156"/>
    <xdr:pic>
      <xdr:nvPicPr>
        <xdr:cNvPr id="2" name="Picture 1">
          <a:extLst>
            <a:ext uri="{FF2B5EF4-FFF2-40B4-BE49-F238E27FC236}">
              <a16:creationId xmlns:a16="http://schemas.microsoft.com/office/drawing/2014/main" id="{7080AEF2-1C63-F34C-BE48-C4EEC16FC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0699" y="215900"/>
          <a:ext cx="6385744" cy="3113156"/>
        </a:xfrm>
        <a:prstGeom prst="rect">
          <a:avLst/>
        </a:prstGeom>
      </xdr:spPr>
    </xdr:pic>
    <xdr:clientData/>
  </xdr:oneCellAnchor>
  <xdr:oneCellAnchor>
    <xdr:from>
      <xdr:col>8</xdr:col>
      <xdr:colOff>495300</xdr:colOff>
      <xdr:row>25</xdr:row>
      <xdr:rowOff>0</xdr:rowOff>
    </xdr:from>
    <xdr:ext cx="6392140" cy="3087757"/>
    <xdr:pic>
      <xdr:nvPicPr>
        <xdr:cNvPr id="3" name="Picture 2">
          <a:extLst>
            <a:ext uri="{FF2B5EF4-FFF2-40B4-BE49-F238E27FC236}">
              <a16:creationId xmlns:a16="http://schemas.microsoft.com/office/drawing/2014/main" id="{DFC0593C-CA2F-F043-8DD9-981877BAD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9300" y="5080000"/>
          <a:ext cx="6392140" cy="3087757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49</xdr:row>
      <xdr:rowOff>165100</xdr:rowOff>
    </xdr:from>
    <xdr:ext cx="6517108" cy="3188620"/>
    <xdr:pic>
      <xdr:nvPicPr>
        <xdr:cNvPr id="4" name="Picture 3">
          <a:extLst>
            <a:ext uri="{FF2B5EF4-FFF2-40B4-BE49-F238E27FC236}">
              <a16:creationId xmlns:a16="http://schemas.microsoft.com/office/drawing/2014/main" id="{138E5E8E-D3A9-7A4C-9B6F-90BAD7EF4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9500" y="10121900"/>
          <a:ext cx="6517108" cy="3188620"/>
        </a:xfrm>
        <a:prstGeom prst="rect">
          <a:avLst/>
        </a:prstGeom>
      </xdr:spPr>
    </xdr:pic>
    <xdr:clientData/>
  </xdr:oneCellAnchor>
  <xdr:oneCellAnchor>
    <xdr:from>
      <xdr:col>9</xdr:col>
      <xdr:colOff>88899</xdr:colOff>
      <xdr:row>71</xdr:row>
      <xdr:rowOff>101600</xdr:rowOff>
    </xdr:from>
    <xdr:ext cx="6380021" cy="3087757"/>
    <xdr:pic>
      <xdr:nvPicPr>
        <xdr:cNvPr id="5" name="Picture 4">
          <a:extLst>
            <a:ext uri="{FF2B5EF4-FFF2-40B4-BE49-F238E27FC236}">
              <a16:creationId xmlns:a16="http://schemas.microsoft.com/office/drawing/2014/main" id="{7378D342-3175-A14A-A298-3D4BBF482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18399" y="14528800"/>
          <a:ext cx="6380021" cy="30877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5465-77A1-014B-B9E5-1C232413AB07}">
  <dimension ref="A1:F87"/>
  <sheetViews>
    <sheetView tabSelected="1" topLeftCell="F1" workbookViewId="0">
      <selection activeCell="K35" sqref="K35"/>
    </sheetView>
  </sheetViews>
  <sheetFormatPr baseColWidth="10" defaultRowHeight="16" x14ac:dyDescent="0.2"/>
  <cols>
    <col min="2" max="3" width="14.6640625" customWidth="1"/>
    <col min="4" max="4" width="13.5" customWidth="1"/>
    <col min="5" max="5" width="14.33203125" customWidth="1"/>
    <col min="6" max="6" width="17.5" bestFit="1" customWidth="1"/>
    <col min="7" max="7" width="17" bestFit="1" customWidth="1"/>
    <col min="8" max="8" width="14.1640625" bestFit="1" customWidth="1"/>
    <col min="9" max="9" width="13.6640625" bestFit="1" customWidth="1"/>
  </cols>
  <sheetData>
    <row r="1" spans="1:6" x14ac:dyDescent="0.2">
      <c r="A1" t="s">
        <v>25</v>
      </c>
      <c r="E1" s="7"/>
    </row>
    <row r="2" spans="1:6" x14ac:dyDescent="0.2">
      <c r="A2" t="s">
        <v>24</v>
      </c>
      <c r="B2" s="2">
        <f>ORD!B2</f>
        <v>68813</v>
      </c>
      <c r="C2" s="2"/>
    </row>
    <row r="3" spans="1:6" x14ac:dyDescent="0.2">
      <c r="A3" t="s">
        <v>23</v>
      </c>
      <c r="B3">
        <f>ORD!C9</f>
        <v>6.1879296063243865E-3</v>
      </c>
    </row>
    <row r="5" spans="1:6" x14ac:dyDescent="0.2">
      <c r="A5" t="s">
        <v>22</v>
      </c>
      <c r="B5" s="5">
        <f>B2*B3</f>
        <v>425.81</v>
      </c>
      <c r="C5" s="5"/>
    </row>
    <row r="6" spans="1:6" x14ac:dyDescent="0.2">
      <c r="A6" t="s">
        <v>21</v>
      </c>
      <c r="B6" s="5">
        <f>SQRT(B2*B3*(1-B3))</f>
        <v>20.571220617511518</v>
      </c>
      <c r="C6" s="5"/>
    </row>
    <row r="7" spans="1:6" x14ac:dyDescent="0.2">
      <c r="A7" t="s">
        <v>20</v>
      </c>
      <c r="B7" s="5">
        <f>B5-1.96*B6</f>
        <v>385.49040758967743</v>
      </c>
      <c r="C7" s="5"/>
    </row>
    <row r="8" spans="1:6" x14ac:dyDescent="0.2">
      <c r="A8" t="s">
        <v>19</v>
      </c>
      <c r="B8" s="5">
        <f>B5+1.96*B6</f>
        <v>466.12959241032257</v>
      </c>
      <c r="C8" s="5"/>
    </row>
    <row r="11" spans="1:6" x14ac:dyDescent="0.2">
      <c r="A11" t="s">
        <v>18</v>
      </c>
      <c r="B11" t="s">
        <v>17</v>
      </c>
      <c r="C11" t="s">
        <v>31</v>
      </c>
      <c r="D11" s="7" t="s">
        <v>29</v>
      </c>
      <c r="E11" t="s">
        <v>30</v>
      </c>
      <c r="F11" t="s">
        <v>32</v>
      </c>
    </row>
    <row r="12" spans="1:6" x14ac:dyDescent="0.2">
      <c r="A12" s="6">
        <f>1-0.9901</f>
        <v>9.9000000000000199E-3</v>
      </c>
      <c r="B12" s="5">
        <f t="shared" ref="B12:B18" si="0">_xlfn.NORM.INV(A12,$B$5,$B$6)</f>
        <v>377.87666152301369</v>
      </c>
      <c r="C12" s="5">
        <f>ROUND(B12,0)</f>
        <v>378</v>
      </c>
      <c r="D12">
        <v>-2.33</v>
      </c>
      <c r="E12" s="4">
        <f>_xlfn.BINOM.DIST(C12,$B$2,$B$3,FALSE)</f>
        <v>1.2418880519640509E-3</v>
      </c>
      <c r="F12" s="9">
        <f>E12</f>
        <v>1.2418880519640509E-3</v>
      </c>
    </row>
    <row r="13" spans="1:6" x14ac:dyDescent="0.2">
      <c r="A13" s="6">
        <f>1-0.9495</f>
        <v>5.0499999999999989E-2</v>
      </c>
      <c r="B13" s="5">
        <f t="shared" si="0"/>
        <v>392.07268697394147</v>
      </c>
      <c r="C13" s="5">
        <f t="shared" ref="C13:C18" si="1">ROUND(B13,0)</f>
        <v>392</v>
      </c>
      <c r="D13">
        <v>-1.64</v>
      </c>
      <c r="E13" s="4">
        <f t="shared" ref="E13:E18" si="2">_xlfn.BINOM.DIST(C13,$B$2,$B$3,FALSE)</f>
        <v>5.0439082844111948E-3</v>
      </c>
      <c r="F13" s="9">
        <f t="shared" ref="F13:F18" si="3">E13</f>
        <v>5.0439082844111948E-3</v>
      </c>
    </row>
    <row r="14" spans="1:6" x14ac:dyDescent="0.2">
      <c r="A14" s="6">
        <f>1-0.8997</f>
        <v>0.10029999999999994</v>
      </c>
      <c r="B14" s="5">
        <f t="shared" si="0"/>
        <v>399.4820463816983</v>
      </c>
      <c r="C14" s="5">
        <f t="shared" si="1"/>
        <v>399</v>
      </c>
      <c r="D14">
        <v>-1.28</v>
      </c>
      <c r="E14" s="4">
        <f t="shared" si="2"/>
        <v>8.4104639924714262E-3</v>
      </c>
      <c r="F14" s="9">
        <f t="shared" si="3"/>
        <v>8.4104639924714262E-3</v>
      </c>
    </row>
    <row r="15" spans="1:6" x14ac:dyDescent="0.2">
      <c r="A15" s="6">
        <v>0.5</v>
      </c>
      <c r="B15" s="5">
        <f t="shared" si="0"/>
        <v>425.81</v>
      </c>
      <c r="C15" s="5">
        <f t="shared" si="1"/>
        <v>426</v>
      </c>
      <c r="D15">
        <v>0</v>
      </c>
      <c r="E15" s="4">
        <f t="shared" si="2"/>
        <v>1.9384305926137352E-2</v>
      </c>
      <c r="F15" s="9">
        <f t="shared" si="3"/>
        <v>1.9384305926137352E-2</v>
      </c>
    </row>
    <row r="16" spans="1:6" x14ac:dyDescent="0.2">
      <c r="A16" s="6">
        <v>0.89970000000000006</v>
      </c>
      <c r="B16" s="5">
        <f t="shared" si="0"/>
        <v>452.13795361830171</v>
      </c>
      <c r="C16" s="5">
        <f t="shared" si="1"/>
        <v>452</v>
      </c>
      <c r="D16">
        <v>1.28</v>
      </c>
      <c r="E16" s="4">
        <f t="shared" si="2"/>
        <v>8.5051240237057034E-3</v>
      </c>
      <c r="F16" s="9">
        <f t="shared" si="3"/>
        <v>8.5051240237057034E-3</v>
      </c>
    </row>
    <row r="17" spans="1:6" x14ac:dyDescent="0.2">
      <c r="A17" s="6">
        <v>0.94950000000000001</v>
      </c>
      <c r="B17" s="5">
        <f t="shared" si="0"/>
        <v>459.54731302605853</v>
      </c>
      <c r="C17" s="5">
        <f t="shared" si="1"/>
        <v>460</v>
      </c>
      <c r="D17">
        <v>1.64</v>
      </c>
      <c r="E17" s="4">
        <f t="shared" si="2"/>
        <v>4.8575391261597919E-3</v>
      </c>
      <c r="F17" s="9">
        <f t="shared" si="3"/>
        <v>4.8575391261597919E-3</v>
      </c>
    </row>
    <row r="18" spans="1:6" x14ac:dyDescent="0.2">
      <c r="A18" s="6">
        <v>0.99009999999999998</v>
      </c>
      <c r="B18" s="5">
        <f t="shared" si="0"/>
        <v>473.74333847698631</v>
      </c>
      <c r="C18" s="5">
        <f t="shared" si="1"/>
        <v>474</v>
      </c>
      <c r="D18">
        <v>2.33</v>
      </c>
      <c r="E18" s="4">
        <f t="shared" si="2"/>
        <v>1.3034759029005678E-3</v>
      </c>
      <c r="F18" s="9">
        <f t="shared" si="3"/>
        <v>1.3034759029005678E-3</v>
      </c>
    </row>
    <row r="19" spans="1:6" x14ac:dyDescent="0.2">
      <c r="A19" s="6"/>
      <c r="B19" s="5"/>
      <c r="C19" s="5"/>
    </row>
    <row r="22" spans="1:6" s="8" customFormat="1" x14ac:dyDescent="0.2"/>
    <row r="24" spans="1:6" x14ac:dyDescent="0.2">
      <c r="A24" t="s">
        <v>26</v>
      </c>
    </row>
    <row r="25" spans="1:6" x14ac:dyDescent="0.2">
      <c r="A25" t="s">
        <v>24</v>
      </c>
      <c r="B25" s="2">
        <f>ORD!B3</f>
        <v>78876</v>
      </c>
      <c r="C25" s="2"/>
    </row>
    <row r="26" spans="1:6" x14ac:dyDescent="0.2">
      <c r="A26" t="s">
        <v>23</v>
      </c>
      <c r="B26">
        <f>ORD!C10</f>
        <v>5.6951417414676199E-3</v>
      </c>
    </row>
    <row r="28" spans="1:6" x14ac:dyDescent="0.2">
      <c r="A28" t="s">
        <v>22</v>
      </c>
      <c r="B28" s="5">
        <f>B25*B26</f>
        <v>449.21</v>
      </c>
      <c r="C28" s="5"/>
    </row>
    <row r="29" spans="1:6" x14ac:dyDescent="0.2">
      <c r="A29" t="s">
        <v>21</v>
      </c>
      <c r="B29" s="5">
        <f>SQRT(B25*B26*(1-B26))</f>
        <v>21.134135548404039</v>
      </c>
      <c r="C29" s="5"/>
    </row>
    <row r="30" spans="1:6" x14ac:dyDescent="0.2">
      <c r="A30" t="s">
        <v>20</v>
      </c>
      <c r="B30" s="5">
        <f>B28-1.96*B29</f>
        <v>407.78709432512807</v>
      </c>
      <c r="C30" s="5"/>
    </row>
    <row r="31" spans="1:6" x14ac:dyDescent="0.2">
      <c r="A31" t="s">
        <v>19</v>
      </c>
      <c r="B31" s="5">
        <f>B28+1.96*B29</f>
        <v>490.63290567487189</v>
      </c>
      <c r="C31" s="5"/>
    </row>
    <row r="34" spans="1:6" x14ac:dyDescent="0.2">
      <c r="A34" t="s">
        <v>18</v>
      </c>
      <c r="B34" t="s">
        <v>17</v>
      </c>
      <c r="C34" t="s">
        <v>31</v>
      </c>
      <c r="D34" s="7" t="s">
        <v>29</v>
      </c>
      <c r="E34" t="s">
        <v>30</v>
      </c>
      <c r="F34" t="s">
        <v>32</v>
      </c>
    </row>
    <row r="35" spans="1:6" x14ac:dyDescent="0.2">
      <c r="A35" s="6">
        <f>1-0.9901</f>
        <v>9.9000000000000199E-3</v>
      </c>
      <c r="B35" s="5">
        <f>_xlfn.NORM.INV(A35,$B$28,$B$29)</f>
        <v>399.9650042121562</v>
      </c>
      <c r="C35" s="5">
        <f>ROUND(B35,0)</f>
        <v>400</v>
      </c>
      <c r="D35">
        <v>-2.33</v>
      </c>
      <c r="E35" s="4">
        <f>_xlfn.BINOM.DIST(C35,$B$25,$B$26,FALSE)</f>
        <v>1.1976455713180597E-3</v>
      </c>
      <c r="F35" s="9">
        <f>E35</f>
        <v>1.1976455713180597E-3</v>
      </c>
    </row>
    <row r="36" spans="1:6" x14ac:dyDescent="0.2">
      <c r="A36" s="6">
        <f>1-0.9495</f>
        <v>5.0499999999999989E-2</v>
      </c>
      <c r="B36" s="5">
        <f t="shared" ref="B36:B40" si="4">_xlfn.NORM.INV(A36,$B$28,$B$29)</f>
        <v>414.54949249833521</v>
      </c>
      <c r="C36" s="5">
        <f t="shared" ref="C36:C41" si="5">ROUND(B36,0)</f>
        <v>415</v>
      </c>
      <c r="D36">
        <v>-1.64</v>
      </c>
      <c r="E36" s="4">
        <f t="shared" ref="E36:E41" si="6">_xlfn.BINOM.DIST(C36,$B$25,$B$26,FALSE)</f>
        <v>5.1172608341290178E-3</v>
      </c>
      <c r="F36" s="9">
        <f t="shared" ref="F36:F41" si="7">E36</f>
        <v>5.1172608341290178E-3</v>
      </c>
    </row>
    <row r="37" spans="1:6" x14ac:dyDescent="0.2">
      <c r="A37" s="6">
        <f>1-0.8997</f>
        <v>0.10029999999999994</v>
      </c>
      <c r="B37" s="5">
        <f t="shared" si="4"/>
        <v>422.16160307562768</v>
      </c>
      <c r="C37" s="5">
        <f t="shared" si="5"/>
        <v>422</v>
      </c>
      <c r="D37">
        <v>-1.28</v>
      </c>
      <c r="E37" s="4">
        <f t="shared" si="6"/>
        <v>8.3546736330764749E-3</v>
      </c>
      <c r="F37" s="9">
        <f t="shared" si="7"/>
        <v>8.3546736330764749E-3</v>
      </c>
    </row>
    <row r="38" spans="1:6" x14ac:dyDescent="0.2">
      <c r="A38" s="6">
        <v>0.5</v>
      </c>
      <c r="B38" s="5">
        <f t="shared" si="4"/>
        <v>449.21</v>
      </c>
      <c r="C38" s="5">
        <f t="shared" si="5"/>
        <v>449</v>
      </c>
      <c r="D38">
        <v>0</v>
      </c>
      <c r="E38" s="4">
        <f t="shared" si="6"/>
        <v>1.8876630866184154E-2</v>
      </c>
      <c r="F38" s="9">
        <f t="shared" si="7"/>
        <v>1.8876630866184154E-2</v>
      </c>
    </row>
    <row r="39" spans="1:6" x14ac:dyDescent="0.2">
      <c r="A39" s="6">
        <v>0.89970000000000006</v>
      </c>
      <c r="B39" s="5">
        <f t="shared" si="4"/>
        <v>476.25839692437228</v>
      </c>
      <c r="C39" s="5">
        <f t="shared" si="5"/>
        <v>476</v>
      </c>
      <c r="D39">
        <v>1.28</v>
      </c>
      <c r="E39" s="4">
        <f t="shared" si="6"/>
        <v>8.3390983043040278E-3</v>
      </c>
      <c r="F39" s="9">
        <f t="shared" si="7"/>
        <v>8.3390983043040278E-3</v>
      </c>
    </row>
    <row r="40" spans="1:6" x14ac:dyDescent="0.2">
      <c r="A40" s="6">
        <v>0.94950000000000001</v>
      </c>
      <c r="B40" s="5">
        <f t="shared" si="4"/>
        <v>483.87050750166475</v>
      </c>
      <c r="C40" s="5">
        <f t="shared" si="5"/>
        <v>484</v>
      </c>
      <c r="D40">
        <v>1.64</v>
      </c>
      <c r="E40" s="4">
        <f t="shared" si="6"/>
        <v>4.8513729088354596E-3</v>
      </c>
      <c r="F40" s="9">
        <f t="shared" si="7"/>
        <v>4.8513729088354596E-3</v>
      </c>
    </row>
    <row r="41" spans="1:6" x14ac:dyDescent="0.2">
      <c r="A41" s="6">
        <v>0.99009999999999998</v>
      </c>
      <c r="B41" s="5">
        <f>_xlfn.NORM.INV(A41,$B$28,$B$29)</f>
        <v>498.45499578784376</v>
      </c>
      <c r="C41" s="5">
        <f t="shared" si="5"/>
        <v>498</v>
      </c>
      <c r="D41">
        <v>2.33</v>
      </c>
      <c r="E41" s="4">
        <f t="shared" si="6"/>
        <v>1.3671928365547226E-3</v>
      </c>
      <c r="F41" s="9">
        <f t="shared" si="7"/>
        <v>1.3671928365547226E-3</v>
      </c>
    </row>
    <row r="45" spans="1:6" s="8" customFormat="1" x14ac:dyDescent="0.2"/>
    <row r="47" spans="1:6" x14ac:dyDescent="0.2">
      <c r="A47" t="s">
        <v>27</v>
      </c>
    </row>
    <row r="48" spans="1:6" x14ac:dyDescent="0.2">
      <c r="A48" t="s">
        <v>24</v>
      </c>
      <c r="B48" s="2">
        <f>ORD!B4</f>
        <v>83901</v>
      </c>
      <c r="C48" s="2"/>
    </row>
    <row r="49" spans="1:6" x14ac:dyDescent="0.2">
      <c r="A49" t="s">
        <v>23</v>
      </c>
      <c r="B49">
        <f>ORD!C11</f>
        <v>7.2523569444941068E-3</v>
      </c>
    </row>
    <row r="51" spans="1:6" x14ac:dyDescent="0.2">
      <c r="A51" t="s">
        <v>22</v>
      </c>
      <c r="B51" s="5">
        <f>B48*B49</f>
        <v>608.48</v>
      </c>
      <c r="C51" s="5"/>
    </row>
    <row r="52" spans="1:6" x14ac:dyDescent="0.2">
      <c r="A52" t="s">
        <v>21</v>
      </c>
      <c r="B52" s="5">
        <f>SQRT(B48*B49*(1-B49))</f>
        <v>24.57777625918208</v>
      </c>
      <c r="C52" s="5"/>
    </row>
    <row r="53" spans="1:6" x14ac:dyDescent="0.2">
      <c r="A53" t="s">
        <v>20</v>
      </c>
      <c r="B53" s="5">
        <f>B51-1.96*B52</f>
        <v>560.3075585320031</v>
      </c>
      <c r="C53" s="5"/>
    </row>
    <row r="54" spans="1:6" x14ac:dyDescent="0.2">
      <c r="A54" t="s">
        <v>19</v>
      </c>
      <c r="B54" s="5">
        <f>B51+1.96*B52</f>
        <v>656.65244146799694</v>
      </c>
      <c r="C54" s="5"/>
    </row>
    <row r="57" spans="1:6" x14ac:dyDescent="0.2">
      <c r="A57" t="s">
        <v>18</v>
      </c>
      <c r="B57" t="s">
        <v>17</v>
      </c>
      <c r="C57" t="s">
        <v>31</v>
      </c>
      <c r="D57" s="7" t="s">
        <v>29</v>
      </c>
      <c r="E57" t="s">
        <v>30</v>
      </c>
      <c r="F57" t="s">
        <v>32</v>
      </c>
    </row>
    <row r="58" spans="1:6" x14ac:dyDescent="0.2">
      <c r="A58" s="6">
        <f>1-0.9901</f>
        <v>9.9000000000000199E-3</v>
      </c>
      <c r="B58" s="5">
        <f>_xlfn.NORM.INV(A58,$B$51,$B$52)</f>
        <v>551.21092052495203</v>
      </c>
      <c r="C58" s="5">
        <f>ROUND(B58,0)</f>
        <v>551</v>
      </c>
      <c r="D58">
        <v>-2.33</v>
      </c>
      <c r="E58" s="4">
        <f>_xlfn.BINOM.DIST(C58,$B$48,$B$49,FALSE)</f>
        <v>1.0116394176498599E-3</v>
      </c>
      <c r="F58" s="9">
        <f>E58</f>
        <v>1.0116394176498599E-3</v>
      </c>
    </row>
    <row r="59" spans="1:6" x14ac:dyDescent="0.2">
      <c r="A59" s="6">
        <f>1-0.9495</f>
        <v>5.0499999999999989E-2</v>
      </c>
      <c r="B59" s="5">
        <f t="shared" ref="B59:B64" si="8">_xlfn.NORM.INV(A59,$B$51,$B$52)</f>
        <v>568.17183615508952</v>
      </c>
      <c r="C59" s="5">
        <f t="shared" ref="C59:C64" si="9">ROUND(B59,0)</f>
        <v>568</v>
      </c>
      <c r="D59">
        <v>-1.64</v>
      </c>
      <c r="E59" s="4">
        <f t="shared" ref="E59:E64" si="10">_xlfn.BINOM.DIST(C59,$B$48,$B$49,FALSE)</f>
        <v>4.1945330447628187E-3</v>
      </c>
      <c r="F59" s="9">
        <f t="shared" ref="F59:F64" si="11">E59</f>
        <v>4.1945330447628187E-3</v>
      </c>
    </row>
    <row r="60" spans="1:6" x14ac:dyDescent="0.2">
      <c r="A60" s="6">
        <f>1-0.8997</f>
        <v>0.10029999999999994</v>
      </c>
      <c r="B60" s="5">
        <f t="shared" si="8"/>
        <v>577.0242801171504</v>
      </c>
      <c r="C60" s="5">
        <f t="shared" si="9"/>
        <v>577</v>
      </c>
      <c r="D60">
        <v>-1.28</v>
      </c>
      <c r="E60" s="4">
        <f t="shared" si="10"/>
        <v>7.2320261954309604E-3</v>
      </c>
      <c r="F60" s="9">
        <f t="shared" si="11"/>
        <v>7.2320261954309604E-3</v>
      </c>
    </row>
    <row r="61" spans="1:6" x14ac:dyDescent="0.2">
      <c r="A61" s="6">
        <v>0.5</v>
      </c>
      <c r="B61" s="5">
        <f t="shared" si="8"/>
        <v>608.48</v>
      </c>
      <c r="C61" s="5">
        <f t="shared" si="9"/>
        <v>608</v>
      </c>
      <c r="D61">
        <v>0</v>
      </c>
      <c r="E61" s="4">
        <f t="shared" si="10"/>
        <v>1.6232866595999332E-2</v>
      </c>
      <c r="F61" s="9">
        <f t="shared" si="11"/>
        <v>1.6232866595999332E-2</v>
      </c>
    </row>
    <row r="62" spans="1:6" x14ac:dyDescent="0.2">
      <c r="A62" s="6">
        <v>0.89970000000000006</v>
      </c>
      <c r="B62" s="5">
        <f t="shared" si="8"/>
        <v>639.93571988284964</v>
      </c>
      <c r="C62" s="5">
        <f t="shared" si="9"/>
        <v>640</v>
      </c>
      <c r="D62">
        <v>1.28</v>
      </c>
      <c r="E62" s="4">
        <f t="shared" si="10"/>
        <v>7.0510162453047143E-3</v>
      </c>
      <c r="F62" s="9">
        <f t="shared" si="11"/>
        <v>7.0510162453047143E-3</v>
      </c>
    </row>
    <row r="63" spans="1:6" x14ac:dyDescent="0.2">
      <c r="A63" s="6">
        <v>0.94950000000000001</v>
      </c>
      <c r="B63" s="5">
        <f t="shared" si="8"/>
        <v>648.78816384491051</v>
      </c>
      <c r="C63" s="5">
        <f t="shared" si="9"/>
        <v>649</v>
      </c>
      <c r="D63">
        <v>1.64</v>
      </c>
      <c r="E63" s="4">
        <f t="shared" si="10"/>
        <v>4.1571450416069784E-3</v>
      </c>
      <c r="F63" s="9">
        <f t="shared" si="11"/>
        <v>4.1571450416069784E-3</v>
      </c>
    </row>
    <row r="64" spans="1:6" x14ac:dyDescent="0.2">
      <c r="A64" s="6">
        <v>0.99009999999999998</v>
      </c>
      <c r="B64" s="5">
        <f t="shared" si="8"/>
        <v>665.74907947504801</v>
      </c>
      <c r="C64" s="5">
        <f t="shared" si="9"/>
        <v>666</v>
      </c>
      <c r="D64">
        <v>2.33</v>
      </c>
      <c r="E64" s="4">
        <f t="shared" si="10"/>
        <v>1.0890424439622174E-3</v>
      </c>
      <c r="F64" s="9">
        <f t="shared" si="11"/>
        <v>1.0890424439622174E-3</v>
      </c>
    </row>
    <row r="68" spans="1:6" s="8" customFormat="1" ht="17" customHeight="1" x14ac:dyDescent="0.2"/>
    <row r="70" spans="1:6" x14ac:dyDescent="0.2">
      <c r="A70" t="s">
        <v>28</v>
      </c>
    </row>
    <row r="71" spans="1:6" x14ac:dyDescent="0.2">
      <c r="A71" t="s">
        <v>24</v>
      </c>
      <c r="B71" s="2">
        <f>ORD!B5</f>
        <v>79840</v>
      </c>
      <c r="C71" s="2"/>
    </row>
    <row r="72" spans="1:6" x14ac:dyDescent="0.2">
      <c r="A72" t="s">
        <v>23</v>
      </c>
      <c r="B72">
        <f>ORD!C12</f>
        <v>3.2945891783567136E-3</v>
      </c>
    </row>
    <row r="74" spans="1:6" x14ac:dyDescent="0.2">
      <c r="A74" t="s">
        <v>22</v>
      </c>
      <c r="B74" s="5">
        <f>B71*B72</f>
        <v>263.04000000000002</v>
      </c>
      <c r="C74" s="5"/>
    </row>
    <row r="75" spans="1:6" x14ac:dyDescent="0.2">
      <c r="A75" t="s">
        <v>21</v>
      </c>
      <c r="B75" s="5">
        <f>SQRT(B71*B72*(1-B72))</f>
        <v>16.191769244357612</v>
      </c>
      <c r="C75" s="5"/>
    </row>
    <row r="76" spans="1:6" x14ac:dyDescent="0.2">
      <c r="A76" t="s">
        <v>20</v>
      </c>
      <c r="B76" s="5">
        <f>B74-1.96*B75</f>
        <v>231.30413228105911</v>
      </c>
      <c r="C76" s="5"/>
    </row>
    <row r="77" spans="1:6" x14ac:dyDescent="0.2">
      <c r="A77" t="s">
        <v>19</v>
      </c>
      <c r="B77" s="5">
        <f>B74+1.96*B75</f>
        <v>294.77586771894096</v>
      </c>
      <c r="C77" s="5"/>
    </row>
    <row r="80" spans="1:6" x14ac:dyDescent="0.2">
      <c r="A80" t="s">
        <v>18</v>
      </c>
      <c r="B80" t="s">
        <v>17</v>
      </c>
      <c r="C80" t="s">
        <v>31</v>
      </c>
      <c r="D80" s="7" t="s">
        <v>29</v>
      </c>
      <c r="E80" t="s">
        <v>30</v>
      </c>
      <c r="F80" t="s">
        <v>32</v>
      </c>
    </row>
    <row r="81" spans="1:6" x14ac:dyDescent="0.2">
      <c r="A81" s="6">
        <f>1-0.9901</f>
        <v>9.9000000000000199E-3</v>
      </c>
      <c r="B81" s="5">
        <f>_xlfn.NORM.INV(A81,$B$74,$B$75)</f>
        <v>225.31129297955403</v>
      </c>
      <c r="C81" s="5">
        <f>ROUND(B81,0)</f>
        <v>225</v>
      </c>
      <c r="D81">
        <v>-2.33</v>
      </c>
      <c r="E81" s="4">
        <f>_xlfn.BINOM.DIST(C81,$B$71,$B$72,FALSE)</f>
        <v>1.4608248802597599E-3</v>
      </c>
      <c r="F81" s="9">
        <f>E81</f>
        <v>1.4608248802597599E-3</v>
      </c>
    </row>
    <row r="82" spans="1:6" x14ac:dyDescent="0.2">
      <c r="A82" s="6">
        <f>1-0.9495</f>
        <v>5.0499999999999989E-2</v>
      </c>
      <c r="B82" s="5">
        <f t="shared" ref="B82:B87" si="12">_xlfn.NORM.INV(A82,$B$74,$B$75)</f>
        <v>236.48509605922055</v>
      </c>
      <c r="C82" s="5">
        <f t="shared" ref="C82:C87" si="13">ROUND(B82,0)</f>
        <v>236</v>
      </c>
      <c r="D82">
        <v>-1.64</v>
      </c>
      <c r="E82" s="4">
        <f t="shared" ref="E82:E87" si="14">_xlfn.BINOM.DIST(C82,$B$71,$B$72,FALSE)</f>
        <v>6.1310790321778951E-3</v>
      </c>
      <c r="F82" s="9">
        <f t="shared" ref="F82:F87" si="15">E82</f>
        <v>6.1310790321778951E-3</v>
      </c>
    </row>
    <row r="83" spans="1:6" x14ac:dyDescent="0.2">
      <c r="A83" s="6">
        <f>1-0.8997</f>
        <v>0.10029999999999994</v>
      </c>
      <c r="B83" s="5">
        <f t="shared" si="12"/>
        <v>242.3170610169432</v>
      </c>
      <c r="C83" s="5">
        <f t="shared" si="13"/>
        <v>242</v>
      </c>
      <c r="D83">
        <v>-1.28</v>
      </c>
      <c r="E83" s="4">
        <f t="shared" si="14"/>
        <v>1.0782122930787171E-2</v>
      </c>
      <c r="F83" s="9">
        <f t="shared" si="15"/>
        <v>1.0782122930787171E-2</v>
      </c>
    </row>
    <row r="84" spans="1:6" x14ac:dyDescent="0.2">
      <c r="A84" s="6">
        <v>0.5</v>
      </c>
      <c r="B84" s="5">
        <f t="shared" si="12"/>
        <v>263.04000000000002</v>
      </c>
      <c r="C84" s="5">
        <f t="shared" si="13"/>
        <v>263</v>
      </c>
      <c r="D84">
        <v>0</v>
      </c>
      <c r="E84" s="4">
        <f t="shared" si="14"/>
        <v>2.463257073580177E-2</v>
      </c>
      <c r="F84" s="9">
        <f t="shared" si="15"/>
        <v>2.463257073580177E-2</v>
      </c>
    </row>
    <row r="85" spans="1:6" x14ac:dyDescent="0.2">
      <c r="A85" s="6">
        <v>0.89970000000000006</v>
      </c>
      <c r="B85" s="5">
        <f t="shared" si="12"/>
        <v>283.76293898305681</v>
      </c>
      <c r="C85" s="5">
        <f t="shared" si="13"/>
        <v>284</v>
      </c>
      <c r="D85">
        <v>1.28</v>
      </c>
      <c r="E85" s="4">
        <f t="shared" si="14"/>
        <v>1.0478331490425321E-2</v>
      </c>
      <c r="F85" s="9">
        <f t="shared" si="15"/>
        <v>1.0478331490425321E-2</v>
      </c>
    </row>
    <row r="86" spans="1:6" x14ac:dyDescent="0.2">
      <c r="A86" s="6">
        <v>0.94950000000000001</v>
      </c>
      <c r="B86" s="5">
        <f t="shared" si="12"/>
        <v>289.59490394077949</v>
      </c>
      <c r="C86" s="5">
        <f t="shared" si="13"/>
        <v>290</v>
      </c>
      <c r="D86">
        <v>1.64</v>
      </c>
      <c r="E86" s="4">
        <f t="shared" si="14"/>
        <v>6.1358321856689749E-3</v>
      </c>
      <c r="F86" s="9">
        <f t="shared" si="15"/>
        <v>6.1358321856689749E-3</v>
      </c>
    </row>
    <row r="87" spans="1:6" x14ac:dyDescent="0.2">
      <c r="A87" s="6">
        <v>0.99009999999999998</v>
      </c>
      <c r="B87" s="5">
        <f t="shared" si="12"/>
        <v>300.76870702044602</v>
      </c>
      <c r="C87" s="5">
        <f t="shared" si="13"/>
        <v>301</v>
      </c>
      <c r="D87">
        <v>2.33</v>
      </c>
      <c r="E87" s="4">
        <f t="shared" si="14"/>
        <v>1.6682380219900463E-3</v>
      </c>
      <c r="F87" s="9">
        <f t="shared" si="15"/>
        <v>1.6682380219900463E-3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C62A-3C30-5448-9B5C-D55031D17E3D}">
  <dimension ref="A1:E27"/>
  <sheetViews>
    <sheetView zoomScale="114" workbookViewId="0">
      <selection activeCell="A32" sqref="A32"/>
    </sheetView>
  </sheetViews>
  <sheetFormatPr baseColWidth="10" defaultRowHeight="16" x14ac:dyDescent="0.2"/>
  <cols>
    <col min="1" max="1" width="38.33203125" bestFit="1" customWidth="1"/>
    <col min="2" max="2" width="24.33203125" customWidth="1"/>
    <col min="3" max="3" width="23" customWidth="1"/>
    <col min="4" max="4" width="20" customWidth="1"/>
    <col min="5" max="5" width="23.33203125" customWidth="1"/>
  </cols>
  <sheetData>
    <row r="1" spans="1:5" x14ac:dyDescent="0.2">
      <c r="A1" t="s">
        <v>0</v>
      </c>
      <c r="B1" t="s">
        <v>14</v>
      </c>
      <c r="C1" t="s">
        <v>6</v>
      </c>
      <c r="D1" t="s">
        <v>5</v>
      </c>
      <c r="E1" t="s">
        <v>7</v>
      </c>
    </row>
    <row r="2" spans="1:5" x14ac:dyDescent="0.2">
      <c r="A2" t="s">
        <v>1</v>
      </c>
      <c r="B2" s="1">
        <v>68813</v>
      </c>
      <c r="C2" s="1">
        <v>17920</v>
      </c>
      <c r="D2" s="1">
        <v>425.81</v>
      </c>
      <c r="E2" s="2">
        <f>C2-D2</f>
        <v>17494.189999999999</v>
      </c>
    </row>
    <row r="3" spans="1:5" x14ac:dyDescent="0.2">
      <c r="A3" t="s">
        <v>2</v>
      </c>
      <c r="B3" s="1">
        <v>78876</v>
      </c>
      <c r="C3" s="1">
        <v>14527</v>
      </c>
      <c r="D3" s="1">
        <v>449.21</v>
      </c>
      <c r="E3" s="2">
        <f>C3-D3</f>
        <v>14077.79</v>
      </c>
    </row>
    <row r="4" spans="1:5" x14ac:dyDescent="0.2">
      <c r="A4" t="s">
        <v>3</v>
      </c>
      <c r="B4" s="1">
        <v>83901</v>
      </c>
      <c r="C4" s="1">
        <v>19129</v>
      </c>
      <c r="D4" s="1">
        <v>608.48</v>
      </c>
      <c r="E4" s="2">
        <f>C4-D4</f>
        <v>18520.52</v>
      </c>
    </row>
    <row r="5" spans="1:5" x14ac:dyDescent="0.2">
      <c r="A5" t="s">
        <v>4</v>
      </c>
      <c r="B5" s="1">
        <v>79840</v>
      </c>
      <c r="C5" s="1">
        <v>11077</v>
      </c>
      <c r="D5" s="1">
        <v>263.04000000000002</v>
      </c>
      <c r="E5" s="2">
        <f>C5-D5</f>
        <v>10813.96</v>
      </c>
    </row>
    <row r="8" spans="1:5" x14ac:dyDescent="0.2">
      <c r="A8" t="s">
        <v>16</v>
      </c>
    </row>
    <row r="9" spans="1:5" x14ac:dyDescent="0.2">
      <c r="A9" s="3" t="s">
        <v>8</v>
      </c>
      <c r="B9" t="s">
        <v>1</v>
      </c>
      <c r="C9" s="4">
        <f>D2/B2</f>
        <v>6.1879296063243865E-3</v>
      </c>
    </row>
    <row r="10" spans="1:5" x14ac:dyDescent="0.2">
      <c r="B10" t="s">
        <v>2</v>
      </c>
      <c r="C10" s="4">
        <f t="shared" ref="C10:C12" si="0">D3/B3</f>
        <v>5.6951417414676199E-3</v>
      </c>
    </row>
    <row r="11" spans="1:5" x14ac:dyDescent="0.2">
      <c r="B11" t="s">
        <v>3</v>
      </c>
      <c r="C11" s="4">
        <f t="shared" si="0"/>
        <v>7.2523569444941068E-3</v>
      </c>
    </row>
    <row r="12" spans="1:5" x14ac:dyDescent="0.2">
      <c r="B12" t="s">
        <v>4</v>
      </c>
      <c r="C12" s="4">
        <f t="shared" si="0"/>
        <v>3.2945891783567136E-3</v>
      </c>
    </row>
    <row r="13" spans="1:5" x14ac:dyDescent="0.2">
      <c r="C13" s="4"/>
    </row>
    <row r="14" spans="1:5" x14ac:dyDescent="0.2">
      <c r="C14" s="4"/>
    </row>
    <row r="15" spans="1:5" x14ac:dyDescent="0.2">
      <c r="C15" s="4"/>
    </row>
    <row r="16" spans="1:5" x14ac:dyDescent="0.2">
      <c r="A16" t="s">
        <v>9</v>
      </c>
      <c r="C16" s="4"/>
    </row>
    <row r="17" spans="1:3" x14ac:dyDescent="0.2">
      <c r="A17" s="3" t="s">
        <v>10</v>
      </c>
      <c r="B17" t="s">
        <v>1</v>
      </c>
      <c r="C17" s="4">
        <f>E2/B2</f>
        <v>0.254227980178164</v>
      </c>
    </row>
    <row r="18" spans="1:3" x14ac:dyDescent="0.2">
      <c r="B18" t="s">
        <v>2</v>
      </c>
      <c r="C18" s="4">
        <f t="shared" ref="C18:C20" si="1">E3/B3</f>
        <v>0.1784800192707541</v>
      </c>
    </row>
    <row r="19" spans="1:3" x14ac:dyDescent="0.2">
      <c r="B19" t="s">
        <v>3</v>
      </c>
      <c r="C19" s="4">
        <f t="shared" si="1"/>
        <v>0.22074254180522282</v>
      </c>
    </row>
    <row r="20" spans="1:3" x14ac:dyDescent="0.2">
      <c r="B20" t="s">
        <v>4</v>
      </c>
      <c r="C20" s="4">
        <f t="shared" si="1"/>
        <v>0.13544539078156312</v>
      </c>
    </row>
    <row r="21" spans="1:3" x14ac:dyDescent="0.2">
      <c r="C21" s="4"/>
    </row>
    <row r="22" spans="1:3" x14ac:dyDescent="0.2">
      <c r="C22" s="4"/>
    </row>
    <row r="23" spans="1:3" x14ac:dyDescent="0.2">
      <c r="A23" t="s">
        <v>11</v>
      </c>
      <c r="C23" s="4"/>
    </row>
    <row r="24" spans="1:3" x14ac:dyDescent="0.2">
      <c r="A24" s="3" t="s">
        <v>12</v>
      </c>
      <c r="B24" t="s">
        <v>1</v>
      </c>
      <c r="C24" s="4">
        <f>C9+C17</f>
        <v>0.26041590978448836</v>
      </c>
    </row>
    <row r="25" spans="1:3" x14ac:dyDescent="0.2">
      <c r="A25" s="3" t="s">
        <v>13</v>
      </c>
      <c r="B25" t="s">
        <v>2</v>
      </c>
      <c r="C25" s="4">
        <f t="shared" ref="C25:C27" si="2">C10+C18</f>
        <v>0.18417516101222173</v>
      </c>
    </row>
    <row r="26" spans="1:3" x14ac:dyDescent="0.2">
      <c r="B26" t="s">
        <v>3</v>
      </c>
      <c r="C26" s="4">
        <f t="shared" si="2"/>
        <v>0.22799489874971693</v>
      </c>
    </row>
    <row r="27" spans="1:3" x14ac:dyDescent="0.2">
      <c r="B27" t="s">
        <v>4</v>
      </c>
      <c r="C27" s="4">
        <f t="shared" si="2"/>
        <v>0.13873997995991982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6A9D-DB25-6F4A-A2C7-343A9BB48B16}">
  <dimension ref="A1:F87"/>
  <sheetViews>
    <sheetView zoomScale="138" workbookViewId="0">
      <selection activeCell="D37" sqref="D37"/>
    </sheetView>
  </sheetViews>
  <sheetFormatPr baseColWidth="10" defaultRowHeight="16" x14ac:dyDescent="0.2"/>
  <cols>
    <col min="2" max="2" width="13.6640625" bestFit="1" customWidth="1"/>
    <col min="3" max="3" width="13.6640625" customWidth="1"/>
    <col min="4" max="4" width="12.83203125" customWidth="1"/>
    <col min="5" max="5" width="17" customWidth="1"/>
    <col min="6" max="6" width="17.5" bestFit="1" customWidth="1"/>
    <col min="7" max="7" width="17" bestFit="1" customWidth="1"/>
    <col min="8" max="8" width="14.1640625" bestFit="1" customWidth="1"/>
    <col min="9" max="9" width="13.6640625" bestFit="1" customWidth="1"/>
  </cols>
  <sheetData>
    <row r="1" spans="1:6" x14ac:dyDescent="0.2">
      <c r="A1" t="s">
        <v>25</v>
      </c>
      <c r="E1" s="7"/>
    </row>
    <row r="2" spans="1:6" x14ac:dyDescent="0.2">
      <c r="A2" t="s">
        <v>24</v>
      </c>
      <c r="B2" s="2">
        <f>MCO!B2</f>
        <v>29065</v>
      </c>
      <c r="C2" s="2"/>
    </row>
    <row r="3" spans="1:6" x14ac:dyDescent="0.2">
      <c r="A3" t="s">
        <v>23</v>
      </c>
      <c r="B3">
        <f>MCO!C9</f>
        <v>6.2442800619301559E-3</v>
      </c>
    </row>
    <row r="5" spans="1:6" x14ac:dyDescent="0.2">
      <c r="A5" t="s">
        <v>22</v>
      </c>
      <c r="B5" s="5">
        <f>B2*B3</f>
        <v>181.48999999999998</v>
      </c>
      <c r="C5" s="5"/>
    </row>
    <row r="6" spans="1:6" x14ac:dyDescent="0.2">
      <c r="A6" t="s">
        <v>21</v>
      </c>
      <c r="B6" s="5">
        <f>SQRT(B2*B3*(1-B3))</f>
        <v>13.429695663400578</v>
      </c>
      <c r="C6" s="5"/>
    </row>
    <row r="7" spans="1:6" x14ac:dyDescent="0.2">
      <c r="A7" t="s">
        <v>20</v>
      </c>
      <c r="B7" s="5">
        <f>B5-1.96*B6</f>
        <v>155.16779649973483</v>
      </c>
      <c r="C7" s="5"/>
    </row>
    <row r="8" spans="1:6" x14ac:dyDescent="0.2">
      <c r="A8" t="s">
        <v>19</v>
      </c>
      <c r="B8" s="5">
        <f>B5+1.96*B6</f>
        <v>207.81220350026513</v>
      </c>
      <c r="C8" s="5"/>
    </row>
    <row r="11" spans="1:6" x14ac:dyDescent="0.2">
      <c r="A11" t="s">
        <v>18</v>
      </c>
      <c r="B11" t="s">
        <v>17</v>
      </c>
      <c r="C11" t="s">
        <v>31</v>
      </c>
      <c r="D11" s="7" t="s">
        <v>29</v>
      </c>
      <c r="E11" t="s">
        <v>30</v>
      </c>
      <c r="F11" t="s">
        <v>32</v>
      </c>
    </row>
    <row r="12" spans="1:6" x14ac:dyDescent="0.2">
      <c r="A12" s="6">
        <f>1-0.9901</f>
        <v>9.9000000000000199E-3</v>
      </c>
      <c r="B12" s="5">
        <f t="shared" ref="B12:B18" si="0">_xlfn.NORM.INV(A12,$B$5,$B$6)</f>
        <v>150.19724592158076</v>
      </c>
      <c r="C12" s="5">
        <f t="shared" ref="C12:C18" si="1">ROUND(B12,0)</f>
        <v>150</v>
      </c>
      <c r="D12">
        <v>-2.33</v>
      </c>
      <c r="E12">
        <f t="shared" ref="E12:E18" si="2">_xlfn.BINOM.DIST(C12,$B$2,$B$3,FALSE)</f>
        <v>1.7562138458333393E-3</v>
      </c>
      <c r="F12" s="10">
        <f t="shared" ref="F12:F18" si="3">E12</f>
        <v>1.7562138458333393E-3</v>
      </c>
    </row>
    <row r="13" spans="1:6" x14ac:dyDescent="0.2">
      <c r="A13" s="6">
        <f>1-0.9495</f>
        <v>5.0499999999999989E-2</v>
      </c>
      <c r="B13" s="5">
        <f t="shared" si="0"/>
        <v>159.46496537200349</v>
      </c>
      <c r="C13" s="5">
        <f t="shared" si="1"/>
        <v>159</v>
      </c>
      <c r="D13">
        <v>-1.64</v>
      </c>
      <c r="E13">
        <f t="shared" si="2"/>
        <v>7.3371457249754562E-3</v>
      </c>
      <c r="F13" s="10">
        <f t="shared" si="3"/>
        <v>7.3371457249754562E-3</v>
      </c>
    </row>
    <row r="14" spans="1:6" x14ac:dyDescent="0.2">
      <c r="A14" s="6">
        <f>1-0.8997</f>
        <v>0.10029999999999994</v>
      </c>
      <c r="B14" s="5">
        <f t="shared" si="0"/>
        <v>164.30208436251314</v>
      </c>
      <c r="C14" s="5">
        <f t="shared" si="1"/>
        <v>164</v>
      </c>
      <c r="D14">
        <v>-1.28</v>
      </c>
      <c r="E14">
        <f t="shared" si="2"/>
        <v>1.2996853361073332E-2</v>
      </c>
      <c r="F14" s="10">
        <f t="shared" si="3"/>
        <v>1.2996853361073332E-2</v>
      </c>
    </row>
    <row r="15" spans="1:6" x14ac:dyDescent="0.2">
      <c r="A15" s="6">
        <v>0.5</v>
      </c>
      <c r="B15" s="5">
        <f t="shared" si="0"/>
        <v>181.48999999999998</v>
      </c>
      <c r="C15" s="5">
        <f t="shared" si="1"/>
        <v>181</v>
      </c>
      <c r="D15">
        <v>0</v>
      </c>
      <c r="E15">
        <f t="shared" si="2"/>
        <v>2.9712416796434337E-2</v>
      </c>
      <c r="F15" s="10">
        <f t="shared" si="3"/>
        <v>2.9712416796434337E-2</v>
      </c>
    </row>
    <row r="16" spans="1:6" x14ac:dyDescent="0.2">
      <c r="A16" s="6">
        <v>0.89970000000000006</v>
      </c>
      <c r="B16" s="5">
        <f t="shared" si="0"/>
        <v>198.67791563748682</v>
      </c>
      <c r="C16" s="5">
        <f t="shared" si="1"/>
        <v>199</v>
      </c>
      <c r="D16">
        <v>1.28</v>
      </c>
      <c r="E16">
        <f t="shared" si="2"/>
        <v>1.2442556400023836E-2</v>
      </c>
      <c r="F16" s="10">
        <f t="shared" si="3"/>
        <v>1.2442556400023836E-2</v>
      </c>
    </row>
    <row r="17" spans="1:6" x14ac:dyDescent="0.2">
      <c r="A17" s="6">
        <v>0.94950000000000001</v>
      </c>
      <c r="B17" s="5">
        <f t="shared" si="0"/>
        <v>203.51503462799647</v>
      </c>
      <c r="C17" s="5">
        <f t="shared" si="1"/>
        <v>204</v>
      </c>
      <c r="D17">
        <v>1.64</v>
      </c>
      <c r="E17">
        <f t="shared" si="2"/>
        <v>7.2610967996768246E-3</v>
      </c>
      <c r="F17" s="10">
        <f t="shared" si="3"/>
        <v>7.2610967996768246E-3</v>
      </c>
    </row>
    <row r="18" spans="1:6" x14ac:dyDescent="0.2">
      <c r="A18" s="6">
        <v>0.99009999999999998</v>
      </c>
      <c r="B18" s="5">
        <f t="shared" si="0"/>
        <v>212.7827540784192</v>
      </c>
      <c r="C18" s="5">
        <f t="shared" si="1"/>
        <v>213</v>
      </c>
      <c r="D18">
        <v>2.33</v>
      </c>
      <c r="E18">
        <f t="shared" si="2"/>
        <v>2.0233413215475478E-3</v>
      </c>
      <c r="F18" s="10">
        <f t="shared" si="3"/>
        <v>2.0233413215475478E-3</v>
      </c>
    </row>
    <row r="19" spans="1:6" x14ac:dyDescent="0.2">
      <c r="A19" s="6"/>
      <c r="B19" s="5"/>
      <c r="C19" s="5"/>
    </row>
    <row r="22" spans="1:6" s="8" customFormat="1" x14ac:dyDescent="0.2"/>
    <row r="24" spans="1:6" x14ac:dyDescent="0.2">
      <c r="A24" t="s">
        <v>26</v>
      </c>
    </row>
    <row r="25" spans="1:6" x14ac:dyDescent="0.2">
      <c r="A25" t="s">
        <v>24</v>
      </c>
      <c r="B25" s="2">
        <f>MCO!B3</f>
        <v>32161</v>
      </c>
      <c r="C25" s="2"/>
    </row>
    <row r="26" spans="1:6" x14ac:dyDescent="0.2">
      <c r="A26" t="s">
        <v>23</v>
      </c>
      <c r="B26">
        <f>MCO!C10</f>
        <v>4.3126768446254777E-3</v>
      </c>
    </row>
    <row r="28" spans="1:6" x14ac:dyDescent="0.2">
      <c r="A28" t="s">
        <v>22</v>
      </c>
      <c r="B28" s="5">
        <f>B25*B26</f>
        <v>138.69999999999999</v>
      </c>
      <c r="C28" s="5"/>
    </row>
    <row r="29" spans="1:6" x14ac:dyDescent="0.2">
      <c r="A29" t="s">
        <v>21</v>
      </c>
      <c r="B29" s="5">
        <f>SQRT(B25*B26*(1-B26))</f>
        <v>11.751673571098307</v>
      </c>
      <c r="C29" s="5"/>
    </row>
    <row r="30" spans="1:6" x14ac:dyDescent="0.2">
      <c r="A30" t="s">
        <v>20</v>
      </c>
      <c r="B30" s="5">
        <f>B28-1.96*B29</f>
        <v>115.66671980064731</v>
      </c>
      <c r="C30" s="5"/>
    </row>
    <row r="31" spans="1:6" x14ac:dyDescent="0.2">
      <c r="A31" t="s">
        <v>19</v>
      </c>
      <c r="B31" s="5">
        <f>B28+1.96*B29</f>
        <v>161.73328019935266</v>
      </c>
      <c r="C31" s="5"/>
    </row>
    <row r="34" spans="1:6" x14ac:dyDescent="0.2">
      <c r="A34" t="s">
        <v>18</v>
      </c>
      <c r="B34" t="s">
        <v>17</v>
      </c>
      <c r="C34" t="s">
        <v>31</v>
      </c>
      <c r="D34" s="7" t="s">
        <v>29</v>
      </c>
      <c r="E34" t="s">
        <v>30</v>
      </c>
      <c r="F34" t="s">
        <v>32</v>
      </c>
    </row>
    <row r="35" spans="1:6" x14ac:dyDescent="0.2">
      <c r="A35" s="6">
        <f>1-0.9901</f>
        <v>9.9000000000000199E-3</v>
      </c>
      <c r="B35" s="5">
        <f t="shared" ref="B35:B41" si="4">_xlfn.NORM.INV(A35,$B$28,$B$29)</f>
        <v>111.31723271418343</v>
      </c>
      <c r="C35" s="5">
        <f t="shared" ref="C35:C41" si="5">ROUND(B35,0)</f>
        <v>111</v>
      </c>
      <c r="D35">
        <v>-2.33</v>
      </c>
      <c r="E35">
        <f t="shared" ref="E35:E41" si="6">_xlfn.BINOM.DIST(C35,$B$25,$B$26,FALSE)</f>
        <v>1.9193362968401915E-3</v>
      </c>
      <c r="F35" s="10">
        <f t="shared" ref="F35:F41" si="7">E35</f>
        <v>1.9193362968401915E-3</v>
      </c>
    </row>
    <row r="36" spans="1:6" x14ac:dyDescent="0.2">
      <c r="A36" s="6">
        <f>1-0.9495</f>
        <v>5.0499999999999989E-2</v>
      </c>
      <c r="B36" s="5">
        <f t="shared" si="4"/>
        <v>119.42696330373789</v>
      </c>
      <c r="C36" s="5">
        <f t="shared" si="5"/>
        <v>119</v>
      </c>
      <c r="D36">
        <v>-1.64</v>
      </c>
      <c r="E36">
        <f t="shared" si="6"/>
        <v>8.3640272447410638E-3</v>
      </c>
      <c r="F36" s="10">
        <f t="shared" si="7"/>
        <v>8.3640272447410638E-3</v>
      </c>
    </row>
    <row r="37" spans="1:6" x14ac:dyDescent="0.2">
      <c r="A37" s="6">
        <f>1-0.8997</f>
        <v>0.10029999999999994</v>
      </c>
      <c r="B37" s="5">
        <f t="shared" si="4"/>
        <v>123.65969089680951</v>
      </c>
      <c r="C37" s="5">
        <f t="shared" si="5"/>
        <v>124</v>
      </c>
      <c r="D37">
        <v>-1.28</v>
      </c>
      <c r="E37">
        <f t="shared" si="6"/>
        <v>1.5934719614073733E-2</v>
      </c>
      <c r="F37" s="10">
        <f t="shared" si="7"/>
        <v>1.5934719614073733E-2</v>
      </c>
    </row>
    <row r="38" spans="1:6" x14ac:dyDescent="0.2">
      <c r="A38" s="6">
        <v>0.5</v>
      </c>
      <c r="B38" s="5">
        <f t="shared" si="4"/>
        <v>138.69999999999999</v>
      </c>
      <c r="C38" s="5">
        <f t="shared" si="5"/>
        <v>139</v>
      </c>
      <c r="D38">
        <v>0</v>
      </c>
      <c r="E38">
        <f t="shared" si="6"/>
        <v>3.3879845909597604E-2</v>
      </c>
      <c r="F38" s="10">
        <f t="shared" si="7"/>
        <v>3.3879845909597604E-2</v>
      </c>
    </row>
    <row r="39" spans="1:6" x14ac:dyDescent="0.2">
      <c r="A39" s="6">
        <v>0.89970000000000006</v>
      </c>
      <c r="B39" s="5">
        <f t="shared" si="4"/>
        <v>153.74030910319047</v>
      </c>
      <c r="C39" s="5">
        <f t="shared" si="5"/>
        <v>154</v>
      </c>
      <c r="D39">
        <v>1.28</v>
      </c>
      <c r="E39">
        <f t="shared" si="6"/>
        <v>1.4212121203901843E-2</v>
      </c>
      <c r="F39" s="10">
        <f t="shared" si="7"/>
        <v>1.4212121203901843E-2</v>
      </c>
    </row>
    <row r="40" spans="1:6" x14ac:dyDescent="0.2">
      <c r="A40" s="6">
        <v>0.94950000000000001</v>
      </c>
      <c r="B40" s="5">
        <f t="shared" si="4"/>
        <v>157.97303669626208</v>
      </c>
      <c r="C40" s="5">
        <f t="shared" si="5"/>
        <v>158</v>
      </c>
      <c r="D40">
        <v>1.64</v>
      </c>
      <c r="E40">
        <f t="shared" si="6"/>
        <v>8.750645441949428E-3</v>
      </c>
      <c r="F40" s="10">
        <f t="shared" si="7"/>
        <v>8.750645441949428E-3</v>
      </c>
    </row>
    <row r="41" spans="1:6" x14ac:dyDescent="0.2">
      <c r="A41" s="6">
        <v>0.99009999999999998</v>
      </c>
      <c r="B41" s="5">
        <f t="shared" si="4"/>
        <v>166.08276728581654</v>
      </c>
      <c r="C41" s="5">
        <f t="shared" si="5"/>
        <v>166</v>
      </c>
      <c r="D41">
        <v>2.33</v>
      </c>
      <c r="E41">
        <f t="shared" si="6"/>
        <v>2.4529892738546972E-3</v>
      </c>
      <c r="F41" s="10">
        <f t="shared" si="7"/>
        <v>2.4529892738546972E-3</v>
      </c>
    </row>
    <row r="45" spans="1:6" s="8" customFormat="1" x14ac:dyDescent="0.2"/>
    <row r="47" spans="1:6" x14ac:dyDescent="0.2">
      <c r="A47" t="s">
        <v>27</v>
      </c>
    </row>
    <row r="48" spans="1:6" x14ac:dyDescent="0.2">
      <c r="A48" t="s">
        <v>24</v>
      </c>
      <c r="B48" s="2">
        <f>MCO!B4</f>
        <v>30442</v>
      </c>
      <c r="C48" s="2"/>
    </row>
    <row r="49" spans="1:6" x14ac:dyDescent="0.2">
      <c r="A49" t="s">
        <v>23</v>
      </c>
      <c r="B49">
        <f>MCO!C11</f>
        <v>9.1331055778201154E-3</v>
      </c>
    </row>
    <row r="51" spans="1:6" x14ac:dyDescent="0.2">
      <c r="A51" t="s">
        <v>22</v>
      </c>
      <c r="B51" s="5">
        <f>B48*B49</f>
        <v>278.02999999999997</v>
      </c>
      <c r="C51" s="5"/>
    </row>
    <row r="52" spans="1:6" x14ac:dyDescent="0.2">
      <c r="A52" t="s">
        <v>21</v>
      </c>
      <c r="B52" s="5">
        <f>SQRT(B48*B49*(1-B49))</f>
        <v>16.597913201851572</v>
      </c>
      <c r="C52" s="5"/>
    </row>
    <row r="53" spans="1:6" x14ac:dyDescent="0.2">
      <c r="A53" t="s">
        <v>20</v>
      </c>
      <c r="B53" s="5">
        <f>B51-1.96*B52</f>
        <v>245.49809012437089</v>
      </c>
      <c r="C53" s="5"/>
    </row>
    <row r="54" spans="1:6" x14ac:dyDescent="0.2">
      <c r="A54" t="s">
        <v>19</v>
      </c>
      <c r="B54" s="5">
        <f>B51+1.96*B52</f>
        <v>310.56190987562906</v>
      </c>
      <c r="C54" s="5"/>
    </row>
    <row r="57" spans="1:6" x14ac:dyDescent="0.2">
      <c r="A57" t="s">
        <v>18</v>
      </c>
      <c r="B57" t="s">
        <v>17</v>
      </c>
      <c r="C57" t="s">
        <v>31</v>
      </c>
      <c r="D57" s="7" t="s">
        <v>29</v>
      </c>
      <c r="E57" t="s">
        <v>30</v>
      </c>
      <c r="F57" t="s">
        <v>32</v>
      </c>
    </row>
    <row r="58" spans="1:6" x14ac:dyDescent="0.2">
      <c r="A58" s="6">
        <f>1-0.9901</f>
        <v>9.9000000000000199E-3</v>
      </c>
      <c r="B58" s="5">
        <f t="shared" ref="B58:B64" si="8">_xlfn.NORM.INV(A58,$B$51,$B$52)</f>
        <v>239.35493028446098</v>
      </c>
      <c r="C58" s="5">
        <f t="shared" ref="C58:C64" si="9">ROUND(B58,0)</f>
        <v>239</v>
      </c>
      <c r="D58">
        <v>-2.33</v>
      </c>
      <c r="E58">
        <f t="shared" ref="E58:E64" si="10">_xlfn.BINOM.DIST(C58,$B$48,$B$49,FALSE)</f>
        <v>1.4210334377444014E-3</v>
      </c>
      <c r="F58" s="10">
        <f t="shared" ref="F58:F64" si="11">E58</f>
        <v>1.4210334377444014E-3</v>
      </c>
    </row>
    <row r="59" spans="1:6" x14ac:dyDescent="0.2">
      <c r="A59" s="6">
        <f>1-0.9495</f>
        <v>5.0499999999999989E-2</v>
      </c>
      <c r="B59" s="5">
        <f t="shared" si="8"/>
        <v>250.80900987588768</v>
      </c>
      <c r="C59" s="5">
        <f t="shared" si="9"/>
        <v>251</v>
      </c>
      <c r="D59">
        <v>-1.64</v>
      </c>
      <c r="E59">
        <f t="shared" si="10"/>
        <v>6.4178772095639493E-3</v>
      </c>
      <c r="F59" s="10">
        <f t="shared" si="11"/>
        <v>6.4178772095639493E-3</v>
      </c>
    </row>
    <row r="60" spans="1:6" x14ac:dyDescent="0.2">
      <c r="A60" s="6">
        <f>1-0.8997</f>
        <v>0.10029999999999994</v>
      </c>
      <c r="B60" s="5">
        <f t="shared" si="8"/>
        <v>256.78726010312903</v>
      </c>
      <c r="C60" s="5">
        <f t="shared" si="9"/>
        <v>257</v>
      </c>
      <c r="D60">
        <v>-1.28</v>
      </c>
      <c r="E60">
        <f t="shared" si="10"/>
        <v>1.096456775241789E-2</v>
      </c>
      <c r="F60" s="10">
        <f t="shared" si="11"/>
        <v>1.096456775241789E-2</v>
      </c>
    </row>
    <row r="61" spans="1:6" x14ac:dyDescent="0.2">
      <c r="A61" s="6">
        <v>0.5</v>
      </c>
      <c r="B61" s="5">
        <f t="shared" si="8"/>
        <v>278.02999999999997</v>
      </c>
      <c r="C61" s="5">
        <f t="shared" si="9"/>
        <v>278</v>
      </c>
      <c r="D61">
        <v>0</v>
      </c>
      <c r="E61">
        <f t="shared" si="10"/>
        <v>2.4029729835679886E-2</v>
      </c>
      <c r="F61" s="10">
        <f t="shared" si="11"/>
        <v>2.4029729835679886E-2</v>
      </c>
    </row>
    <row r="62" spans="1:6" x14ac:dyDescent="0.2">
      <c r="A62" s="6">
        <v>0.89970000000000006</v>
      </c>
      <c r="B62" s="5">
        <f t="shared" si="8"/>
        <v>299.27273989687092</v>
      </c>
      <c r="C62" s="5">
        <f t="shared" si="9"/>
        <v>299</v>
      </c>
      <c r="D62">
        <v>1.28</v>
      </c>
      <c r="E62">
        <f t="shared" si="10"/>
        <v>1.0636692833025842E-2</v>
      </c>
      <c r="F62" s="10">
        <f t="shared" si="11"/>
        <v>1.0636692833025842E-2</v>
      </c>
    </row>
    <row r="63" spans="1:6" x14ac:dyDescent="0.2">
      <c r="A63" s="6">
        <v>0.94950000000000001</v>
      </c>
      <c r="B63" s="5">
        <f t="shared" si="8"/>
        <v>305.25099012411226</v>
      </c>
      <c r="C63" s="5">
        <f t="shared" si="9"/>
        <v>305</v>
      </c>
      <c r="D63">
        <v>1.64</v>
      </c>
      <c r="E63">
        <f t="shared" si="10"/>
        <v>6.3828926634448141E-3</v>
      </c>
      <c r="F63" s="10">
        <f t="shared" si="11"/>
        <v>6.3828926634448141E-3</v>
      </c>
    </row>
    <row r="64" spans="1:6" x14ac:dyDescent="0.2">
      <c r="A64" s="6">
        <v>0.99009999999999998</v>
      </c>
      <c r="B64" s="5">
        <f t="shared" si="8"/>
        <v>316.70506971553897</v>
      </c>
      <c r="C64" s="5">
        <f t="shared" si="9"/>
        <v>317</v>
      </c>
      <c r="D64">
        <v>2.33</v>
      </c>
      <c r="E64">
        <f t="shared" si="10"/>
        <v>1.6118621167964654E-3</v>
      </c>
      <c r="F64" s="10">
        <f t="shared" si="11"/>
        <v>1.6118621167964654E-3</v>
      </c>
    </row>
    <row r="68" spans="1:6" s="8" customFormat="1" ht="17" customHeight="1" x14ac:dyDescent="0.2"/>
    <row r="70" spans="1:6" x14ac:dyDescent="0.2">
      <c r="A70" t="s">
        <v>28</v>
      </c>
    </row>
    <row r="71" spans="1:6" x14ac:dyDescent="0.2">
      <c r="A71" t="s">
        <v>24</v>
      </c>
      <c r="B71" s="2">
        <f>MCO!B5</f>
        <v>27316</v>
      </c>
      <c r="C71" s="2"/>
    </row>
    <row r="72" spans="1:6" x14ac:dyDescent="0.2">
      <c r="A72" t="s">
        <v>23</v>
      </c>
      <c r="B72">
        <f>MCO!C12</f>
        <v>2.9360082003221555E-3</v>
      </c>
    </row>
    <row r="74" spans="1:6" x14ac:dyDescent="0.2">
      <c r="A74" t="s">
        <v>22</v>
      </c>
      <c r="B74" s="5">
        <f>B71*B72</f>
        <v>80.2</v>
      </c>
      <c r="C74" s="5"/>
    </row>
    <row r="75" spans="1:6" x14ac:dyDescent="0.2">
      <c r="A75" t="s">
        <v>21</v>
      </c>
      <c r="B75" s="5">
        <f>SQRT(B71*B72*(1-B72))</f>
        <v>8.9422889766733746</v>
      </c>
      <c r="C75" s="5"/>
    </row>
    <row r="76" spans="1:6" x14ac:dyDescent="0.2">
      <c r="A76" t="s">
        <v>20</v>
      </c>
      <c r="B76" s="5">
        <f>B74-1.96*B75</f>
        <v>62.673113605720189</v>
      </c>
      <c r="C76" s="5"/>
    </row>
    <row r="77" spans="1:6" x14ac:dyDescent="0.2">
      <c r="A77" t="s">
        <v>19</v>
      </c>
      <c r="B77" s="5">
        <f>B74+1.96*B75</f>
        <v>97.726886394279816</v>
      </c>
      <c r="C77" s="5"/>
    </row>
    <row r="80" spans="1:6" x14ac:dyDescent="0.2">
      <c r="A80" t="s">
        <v>18</v>
      </c>
      <c r="B80" t="s">
        <v>17</v>
      </c>
      <c r="C80" t="s">
        <v>31</v>
      </c>
      <c r="D80" s="7" t="s">
        <v>29</v>
      </c>
      <c r="E80" t="s">
        <v>30</v>
      </c>
      <c r="F80" t="s">
        <v>32</v>
      </c>
    </row>
    <row r="81" spans="1:6" x14ac:dyDescent="0.2">
      <c r="A81" s="6">
        <f>1-0.9901</f>
        <v>9.9000000000000199E-3</v>
      </c>
      <c r="B81" s="5">
        <f t="shared" ref="B81:B87" si="12">_xlfn.NORM.INV(A81,$B$74,$B$75)</f>
        <v>59.36342582447304</v>
      </c>
      <c r="C81" s="5">
        <f t="shared" ref="C81:C87" si="13">ROUND(B81,0)</f>
        <v>59</v>
      </c>
      <c r="D81">
        <v>-2.33</v>
      </c>
      <c r="E81">
        <f t="shared" ref="E81:E87" si="14">_xlfn.BINOM.DIST(C81,$B$71,$B$72,FALSE)</f>
        <v>2.348193113258392E-3</v>
      </c>
      <c r="F81" s="10">
        <f t="shared" ref="F81:F87" si="15">E81</f>
        <v>2.348193113258392E-3</v>
      </c>
    </row>
    <row r="82" spans="1:6" x14ac:dyDescent="0.2">
      <c r="A82" s="6">
        <f>1-0.9495</f>
        <v>5.0499999999999989E-2</v>
      </c>
      <c r="B82" s="5">
        <f t="shared" si="12"/>
        <v>65.534423854329489</v>
      </c>
      <c r="C82" s="5">
        <f t="shared" si="13"/>
        <v>66</v>
      </c>
      <c r="D82">
        <v>-1.64</v>
      </c>
      <c r="E82">
        <f t="shared" si="14"/>
        <v>1.2827280618773682E-2</v>
      </c>
      <c r="F82" s="10">
        <f t="shared" si="15"/>
        <v>1.2827280618773682E-2</v>
      </c>
    </row>
    <row r="83" spans="1:6" x14ac:dyDescent="0.2">
      <c r="A83" s="6">
        <f>1-0.8997</f>
        <v>0.10029999999999994</v>
      </c>
      <c r="B83" s="5">
        <f t="shared" si="12"/>
        <v>68.755264959878332</v>
      </c>
      <c r="C83" s="5">
        <f t="shared" si="13"/>
        <v>69</v>
      </c>
      <c r="D83">
        <v>-1.28</v>
      </c>
      <c r="E83">
        <f t="shared" si="14"/>
        <v>2.1079300327538651E-2</v>
      </c>
      <c r="F83" s="10">
        <f t="shared" si="15"/>
        <v>2.1079300327538651E-2</v>
      </c>
    </row>
    <row r="84" spans="1:6" x14ac:dyDescent="0.2">
      <c r="A84" s="6">
        <v>0.5</v>
      </c>
      <c r="B84" s="5">
        <f t="shared" si="12"/>
        <v>80.2</v>
      </c>
      <c r="C84" s="5">
        <f t="shared" si="13"/>
        <v>80</v>
      </c>
      <c r="D84">
        <v>0</v>
      </c>
      <c r="E84">
        <f t="shared" si="14"/>
        <v>4.4610886962600217E-2</v>
      </c>
      <c r="F84" s="10">
        <f t="shared" si="15"/>
        <v>4.4610886962600217E-2</v>
      </c>
    </row>
    <row r="85" spans="1:6" x14ac:dyDescent="0.2">
      <c r="A85" s="6">
        <v>0.89970000000000006</v>
      </c>
      <c r="B85" s="5">
        <f t="shared" si="12"/>
        <v>91.644735040121674</v>
      </c>
      <c r="C85" s="5">
        <f t="shared" si="13"/>
        <v>92</v>
      </c>
      <c r="D85">
        <v>1.28</v>
      </c>
      <c r="E85">
        <f t="shared" si="14"/>
        <v>1.8133502722313653E-2</v>
      </c>
      <c r="F85" s="10">
        <f t="shared" si="15"/>
        <v>1.8133502722313653E-2</v>
      </c>
    </row>
    <row r="86" spans="1:6" x14ac:dyDescent="0.2">
      <c r="A86" s="6">
        <v>0.94950000000000001</v>
      </c>
      <c r="B86" s="5">
        <f t="shared" si="12"/>
        <v>94.865576145670516</v>
      </c>
      <c r="C86" s="5">
        <f t="shared" si="13"/>
        <v>95</v>
      </c>
      <c r="D86">
        <v>1.64</v>
      </c>
      <c r="E86">
        <f t="shared" si="14"/>
        <v>1.1247550170006129E-2</v>
      </c>
      <c r="F86" s="10">
        <f t="shared" si="15"/>
        <v>1.1247550170006129E-2</v>
      </c>
    </row>
    <row r="87" spans="1:6" x14ac:dyDescent="0.2">
      <c r="A87" s="6">
        <v>0.99009999999999998</v>
      </c>
      <c r="B87" s="5">
        <f t="shared" si="12"/>
        <v>101.03657417552697</v>
      </c>
      <c r="C87" s="5">
        <f t="shared" si="13"/>
        <v>101</v>
      </c>
      <c r="D87">
        <v>2.33</v>
      </c>
      <c r="E87">
        <f t="shared" si="14"/>
        <v>3.2675545034551597E-3</v>
      </c>
      <c r="F87" s="10">
        <f t="shared" si="15"/>
        <v>3.2675545034551597E-3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5E0F-A3E4-2B43-87F8-2540B925423A}">
  <dimension ref="A1:E27"/>
  <sheetViews>
    <sheetView workbookViewId="0">
      <selection activeCell="B14" sqref="B14"/>
    </sheetView>
  </sheetViews>
  <sheetFormatPr baseColWidth="10" defaultRowHeight="16" x14ac:dyDescent="0.2"/>
  <cols>
    <col min="1" max="2" width="23" bestFit="1" customWidth="1"/>
    <col min="3" max="3" width="18.1640625" bestFit="1" customWidth="1"/>
    <col min="4" max="4" width="18.6640625" bestFit="1" customWidth="1"/>
    <col min="5" max="5" width="22.83203125" bestFit="1" customWidth="1"/>
  </cols>
  <sheetData>
    <row r="1" spans="1:5" x14ac:dyDescent="0.2">
      <c r="A1" t="s">
        <v>15</v>
      </c>
      <c r="B1" t="s">
        <v>14</v>
      </c>
      <c r="C1" t="s">
        <v>6</v>
      </c>
      <c r="D1" t="s">
        <v>5</v>
      </c>
      <c r="E1" t="s">
        <v>7</v>
      </c>
    </row>
    <row r="2" spans="1:5" x14ac:dyDescent="0.2">
      <c r="A2" t="s">
        <v>1</v>
      </c>
      <c r="B2" s="1">
        <v>29065</v>
      </c>
      <c r="C2" s="1">
        <v>6253</v>
      </c>
      <c r="D2" s="1">
        <v>181.48999999999998</v>
      </c>
      <c r="E2" s="2">
        <f>C2-D2</f>
        <v>6071.51</v>
      </c>
    </row>
    <row r="3" spans="1:5" x14ac:dyDescent="0.2">
      <c r="A3" t="s">
        <v>2</v>
      </c>
      <c r="B3" s="1">
        <v>32161</v>
      </c>
      <c r="C3" s="1">
        <v>5850</v>
      </c>
      <c r="D3" s="1">
        <v>138.69999999999999</v>
      </c>
      <c r="E3" s="2">
        <f t="shared" ref="E3:E5" si="0">C3-D3</f>
        <v>5711.3</v>
      </c>
    </row>
    <row r="4" spans="1:5" x14ac:dyDescent="0.2">
      <c r="A4" t="s">
        <v>3</v>
      </c>
      <c r="B4" s="1">
        <v>30442</v>
      </c>
      <c r="C4" s="1">
        <v>7201</v>
      </c>
      <c r="D4" s="1">
        <v>278.02999999999997</v>
      </c>
      <c r="E4" s="2">
        <f t="shared" si="0"/>
        <v>6922.97</v>
      </c>
    </row>
    <row r="5" spans="1:5" x14ac:dyDescent="0.2">
      <c r="A5" t="s">
        <v>4</v>
      </c>
      <c r="B5" s="1">
        <v>27316</v>
      </c>
      <c r="C5" s="1">
        <v>3848</v>
      </c>
      <c r="D5" s="1">
        <v>80.2</v>
      </c>
      <c r="E5" s="2">
        <f t="shared" si="0"/>
        <v>3767.8</v>
      </c>
    </row>
    <row r="8" spans="1:5" x14ac:dyDescent="0.2">
      <c r="A8" t="s">
        <v>16</v>
      </c>
    </row>
    <row r="9" spans="1:5" x14ac:dyDescent="0.2">
      <c r="A9" s="3" t="s">
        <v>8</v>
      </c>
      <c r="B9" t="s">
        <v>1</v>
      </c>
      <c r="C9" s="4">
        <f>D2/B2</f>
        <v>6.2442800619301559E-3</v>
      </c>
    </row>
    <row r="10" spans="1:5" x14ac:dyDescent="0.2">
      <c r="B10" t="s">
        <v>2</v>
      </c>
      <c r="C10" s="4">
        <f>D3/B3</f>
        <v>4.3126768446254777E-3</v>
      </c>
    </row>
    <row r="11" spans="1:5" x14ac:dyDescent="0.2">
      <c r="B11" t="s">
        <v>3</v>
      </c>
      <c r="C11" s="4">
        <f>D4/B4</f>
        <v>9.1331055778201154E-3</v>
      </c>
    </row>
    <row r="12" spans="1:5" x14ac:dyDescent="0.2">
      <c r="B12" t="s">
        <v>4</v>
      </c>
      <c r="C12" s="4">
        <f>D5/B5</f>
        <v>2.9360082003221555E-3</v>
      </c>
    </row>
    <row r="13" spans="1:5" x14ac:dyDescent="0.2">
      <c r="C13" s="4"/>
    </row>
    <row r="14" spans="1:5" x14ac:dyDescent="0.2">
      <c r="C14" s="4"/>
    </row>
    <row r="15" spans="1:5" x14ac:dyDescent="0.2">
      <c r="C15" s="4"/>
    </row>
    <row r="16" spans="1:5" x14ac:dyDescent="0.2">
      <c r="A16" t="s">
        <v>9</v>
      </c>
      <c r="C16" s="4"/>
    </row>
    <row r="17" spans="1:3" x14ac:dyDescent="0.2">
      <c r="A17" s="3" t="s">
        <v>10</v>
      </c>
      <c r="B17" t="s">
        <v>1</v>
      </c>
      <c r="C17" s="4">
        <f>E2/B2</f>
        <v>0.20889420264923447</v>
      </c>
    </row>
    <row r="18" spans="1:3" x14ac:dyDescent="0.2">
      <c r="B18" t="s">
        <v>2</v>
      </c>
      <c r="C18" s="4">
        <f>E3/B3</f>
        <v>0.17758465221852554</v>
      </c>
    </row>
    <row r="19" spans="1:3" x14ac:dyDescent="0.2">
      <c r="B19" t="s">
        <v>3</v>
      </c>
      <c r="C19" s="4">
        <f>E4/B4</f>
        <v>0.22741508442283687</v>
      </c>
    </row>
    <row r="20" spans="1:3" x14ac:dyDescent="0.2">
      <c r="B20" t="s">
        <v>4</v>
      </c>
      <c r="C20" s="4">
        <f>E5/B5</f>
        <v>0.13793381168545907</v>
      </c>
    </row>
    <row r="21" spans="1:3" x14ac:dyDescent="0.2">
      <c r="C21" s="4"/>
    </row>
    <row r="22" spans="1:3" x14ac:dyDescent="0.2">
      <c r="C22" s="4"/>
    </row>
    <row r="23" spans="1:3" x14ac:dyDescent="0.2">
      <c r="A23" t="s">
        <v>11</v>
      </c>
      <c r="C23" s="4"/>
    </row>
    <row r="24" spans="1:3" x14ac:dyDescent="0.2">
      <c r="A24" s="3" t="s">
        <v>12</v>
      </c>
      <c r="B24" t="s">
        <v>1</v>
      </c>
      <c r="C24" s="4">
        <f>C9+C17</f>
        <v>0.21513848271116462</v>
      </c>
    </row>
    <row r="25" spans="1:3" x14ac:dyDescent="0.2">
      <c r="A25" s="3" t="s">
        <v>13</v>
      </c>
      <c r="B25" t="s">
        <v>2</v>
      </c>
      <c r="C25" s="4">
        <f t="shared" ref="C25:C27" si="1">C10+C18</f>
        <v>0.18189732906315101</v>
      </c>
    </row>
    <row r="26" spans="1:3" x14ac:dyDescent="0.2">
      <c r="B26" t="s">
        <v>3</v>
      </c>
      <c r="C26" s="4">
        <f t="shared" si="1"/>
        <v>0.23654819000065699</v>
      </c>
    </row>
    <row r="27" spans="1:3" x14ac:dyDescent="0.2">
      <c r="B27" t="s">
        <v>4</v>
      </c>
      <c r="C27" s="4">
        <f t="shared" si="1"/>
        <v>0.14086981988578123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 DIST.</vt:lpstr>
      <vt:lpstr>ORD</vt:lpstr>
      <vt:lpstr>MCO DIST.</vt:lpstr>
      <vt:lpstr>MCO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Group 7</dc:creator>
  <cp:lastModifiedBy>Theo Tomo Eugene Poupel</cp:lastModifiedBy>
  <dcterms:created xsi:type="dcterms:W3CDTF">2025-11-02T12:52:53Z</dcterms:created>
  <dcterms:modified xsi:type="dcterms:W3CDTF">2026-07-07T10:28:41Z</dcterms:modified>
</cp:coreProperties>
</file>